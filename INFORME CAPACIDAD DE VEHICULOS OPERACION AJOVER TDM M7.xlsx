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00 GERENCIA ADMIN\GERENCIA ADTIVA\ANA MARIA PALACIO\ANA MARIA PALACIO 2025\AUDITORIAS\AJOVER\RESTRUCTURACION AJOVER MEDELLIN\"/>
    </mc:Choice>
  </mc:AlternateContent>
  <xr:revisionPtr revIDLastSave="0" documentId="13_ncr:1_{6B89AD1B-DB82-4222-B1C6-6432324037E7}" xr6:coauthVersionLast="47" xr6:coauthVersionMax="47" xr10:uidLastSave="{00000000-0000-0000-0000-000000000000}"/>
  <bookViews>
    <workbookView xWindow="-108" yWindow="-108" windowWidth="23256" windowHeight="12456" xr2:uid="{E9193450-DED8-4680-856A-C351B58C0C1A}"/>
  </bookViews>
  <sheets>
    <sheet name="PLACAS PLAN R Y NORM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5" i="1"/>
  <c r="F34" i="1"/>
  <c r="F17" i="1"/>
</calcChain>
</file>

<file path=xl/sharedStrings.xml><?xml version="1.0" encoding="utf-8"?>
<sst xmlns="http://schemas.openxmlformats.org/spreadsheetml/2006/main" count="131" uniqueCount="73">
  <si>
    <t>JYO631</t>
  </si>
  <si>
    <t>NHR</t>
  </si>
  <si>
    <t>SVO488</t>
  </si>
  <si>
    <t>TURB</t>
  </si>
  <si>
    <t>VEJ509</t>
  </si>
  <si>
    <t>WCQ379</t>
  </si>
  <si>
    <t>TKD564</t>
  </si>
  <si>
    <t>GDX508</t>
  </si>
  <si>
    <t>LKN291</t>
  </si>
  <si>
    <t>SXI 118</t>
  </si>
  <si>
    <t>JYN215</t>
  </si>
  <si>
    <t>JAIRO ALVAREZ</t>
  </si>
  <si>
    <t>JUAN ESTEBAN</t>
  </si>
  <si>
    <t>JAMES SALGADO</t>
  </si>
  <si>
    <t>EDWIN FRANCO</t>
  </si>
  <si>
    <t>LUIS EDUARDO</t>
  </si>
  <si>
    <t>MATEO LOAIZA</t>
  </si>
  <si>
    <t>STY099</t>
  </si>
  <si>
    <t>CARLOS MARIN</t>
  </si>
  <si>
    <t>WILLIAM GIL LOPEZ</t>
  </si>
  <si>
    <t>ONEY FLOREZ</t>
  </si>
  <si>
    <r>
      <t>ANDRES C</t>
    </r>
    <r>
      <rPr>
        <b/>
        <sz val="11"/>
        <color theme="1"/>
        <rFont val="Calibri"/>
        <family val="2"/>
        <scheme val="minor"/>
      </rPr>
      <t>ARO</t>
    </r>
  </si>
  <si>
    <t>WDY 031</t>
  </si>
  <si>
    <t>OSMAN ROCHA</t>
  </si>
  <si>
    <t>NNM 419</t>
  </si>
  <si>
    <t>FRANK GAVIRIA</t>
  </si>
  <si>
    <t>NNN 500</t>
  </si>
  <si>
    <t>DANIEL CASTILLO</t>
  </si>
  <si>
    <t xml:space="preserve">PLACA </t>
  </si>
  <si>
    <t xml:space="preserve">TIPO </t>
  </si>
  <si>
    <t>NOMBRE</t>
  </si>
  <si>
    <t xml:space="preserve">CEDULA </t>
  </si>
  <si>
    <t xml:space="preserve">PLAN R </t>
  </si>
  <si>
    <t>R</t>
  </si>
  <si>
    <t>CUBICAJE MET</t>
  </si>
  <si>
    <t xml:space="preserve">PLAN N </t>
  </si>
  <si>
    <t>N</t>
  </si>
  <si>
    <t>LKL 499</t>
  </si>
  <si>
    <t>JOHAN ROLDAN</t>
  </si>
  <si>
    <t>PXK 108</t>
  </si>
  <si>
    <t>HERNA ANDRES QUICENO</t>
  </si>
  <si>
    <t>HUGO ARMANDO CARABALLO BARROSO</t>
  </si>
  <si>
    <t>JOW195</t>
  </si>
  <si>
    <t>VIRGILIO  RENE RESTREPO VILLEGAS</t>
  </si>
  <si>
    <t>LJZ869</t>
  </si>
  <si>
    <t>ANDREI  JIMENEZ ARANA</t>
  </si>
  <si>
    <t>JYO422</t>
  </si>
  <si>
    <t>CARLOS MAURICIO BETANCUR ORTIZ</t>
  </si>
  <si>
    <t>NNM572</t>
  </si>
  <si>
    <t>LUIS BERNARDO GONZALEZ VELEZ</t>
  </si>
  <si>
    <t>JYX456</t>
  </si>
  <si>
    <t>ALEXANDER DE JESUS TEJADA MARIN</t>
  </si>
  <si>
    <t>WMZ215</t>
  </si>
  <si>
    <t>DIEGO  FERNANDO ECHEVERRY CASTAÑO</t>
  </si>
  <si>
    <t xml:space="preserve">SNT897 </t>
  </si>
  <si>
    <t>CRISTIAN FERNANDO RESTREPO GRISALES</t>
  </si>
  <si>
    <t>LKO865</t>
  </si>
  <si>
    <t>VICTOR HUGO PARRA CARDONA</t>
  </si>
  <si>
    <t>LKO866</t>
  </si>
  <si>
    <t>CARLOS  ANDRES RUIZ MEDINA</t>
  </si>
  <si>
    <t>TRD882</t>
  </si>
  <si>
    <t>LIBARDO ALCIDES QUINTANA VELASQUEZ</t>
  </si>
  <si>
    <t>CRISTHIAN CAMILO BALLESTA ESPITIA</t>
  </si>
  <si>
    <t>JYO797</t>
  </si>
  <si>
    <t>EDUIN ALEXANDER ECHEVERRI BOTERO</t>
  </si>
  <si>
    <t>ESQ159</t>
  </si>
  <si>
    <t>MAURICIO  GIRALDO CASTRILLON</t>
  </si>
  <si>
    <t>SNT476</t>
  </si>
  <si>
    <t>NLX817</t>
  </si>
  <si>
    <t>TURBO</t>
  </si>
  <si>
    <t xml:space="preserve">CAPACIDAD DE MULAS PLAN R TDM 77 METROS </t>
  </si>
  <si>
    <t xml:space="preserve">CAPACIDAD ZORRO PLAN NORMAL AJOVER 115 METROS </t>
  </si>
  <si>
    <t xml:space="preserve">CAPACIDAD SENCILLOS PLAN NORMAL BOGOTA 40 A 60  METROS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</si>
</sst>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92D05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47CA-C106-4B89-87F0-3D7ECB88F428}">
  <dimension ref="A1:WNK42"/>
  <sheetViews>
    <sheetView tabSelected="1" workbookViewId="0">
      <selection activeCell="F42" sqref="F42"/>
    </sheetView>
  </sheetViews>
  <sheetFormatPr baseColWidth="10" defaultRowHeight="14.4" x14ac:dyDescent="0.3"/>
  <cols>
    <col min="2" max="2" width="23.6640625" customWidth="1"/>
    <col min="3" max="3" width="22.6640625" customWidth="1"/>
    <col min="4" max="4" width="43.109375" customWidth="1"/>
    <col min="5" max="5" width="23.109375" customWidth="1"/>
    <col min="6" max="6" width="22.6640625" customWidth="1"/>
    <col min="9" max="9" width="26" customWidth="1"/>
  </cols>
  <sheetData>
    <row r="1" spans="1:15923" ht="15" thickBot="1" x14ac:dyDescent="0.35">
      <c r="A1" s="5" t="s">
        <v>32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34</v>
      </c>
    </row>
    <row r="2" spans="1:15923" ht="15" thickBot="1" x14ac:dyDescent="0.35">
      <c r="A2" s="4" t="s">
        <v>33</v>
      </c>
      <c r="B2" s="1" t="s">
        <v>0</v>
      </c>
      <c r="C2" s="1" t="s">
        <v>1</v>
      </c>
      <c r="D2" s="2" t="s">
        <v>11</v>
      </c>
      <c r="E2" s="3">
        <v>1128450159</v>
      </c>
      <c r="F2" s="4">
        <v>18</v>
      </c>
    </row>
    <row r="3" spans="1:15923" ht="15" thickBot="1" x14ac:dyDescent="0.35">
      <c r="A3" s="4" t="s">
        <v>33</v>
      </c>
      <c r="B3" s="1" t="s">
        <v>2</v>
      </c>
      <c r="C3" s="1" t="s">
        <v>3</v>
      </c>
      <c r="D3" s="2" t="s">
        <v>12</v>
      </c>
      <c r="E3" s="3">
        <v>1000206476</v>
      </c>
      <c r="F3" s="4">
        <v>21</v>
      </c>
    </row>
    <row r="4" spans="1:15923" ht="15" thickBot="1" x14ac:dyDescent="0.35">
      <c r="A4" s="4" t="s">
        <v>33</v>
      </c>
      <c r="B4" s="1" t="s">
        <v>4</v>
      </c>
      <c r="C4" s="1" t="s">
        <v>1</v>
      </c>
      <c r="D4" s="2" t="s">
        <v>13</v>
      </c>
      <c r="E4" s="3">
        <v>94252356</v>
      </c>
      <c r="F4" s="4">
        <v>15</v>
      </c>
    </row>
    <row r="5" spans="1:15923" ht="15" thickBot="1" x14ac:dyDescent="0.35">
      <c r="A5" s="4" t="s">
        <v>33</v>
      </c>
      <c r="B5" s="1" t="s">
        <v>5</v>
      </c>
      <c r="C5" s="1" t="s">
        <v>3</v>
      </c>
      <c r="D5" s="2" t="s">
        <v>14</v>
      </c>
      <c r="E5" s="3">
        <v>1037598750</v>
      </c>
      <c r="F5" s="4">
        <v>20</v>
      </c>
    </row>
    <row r="6" spans="1:15923" ht="15" thickBot="1" x14ac:dyDescent="0.35">
      <c r="A6" s="4" t="s">
        <v>33</v>
      </c>
      <c r="B6" s="1" t="s">
        <v>6</v>
      </c>
      <c r="C6" s="1" t="s">
        <v>3</v>
      </c>
      <c r="D6" s="2" t="s">
        <v>15</v>
      </c>
      <c r="E6" s="3">
        <v>1017227949</v>
      </c>
      <c r="F6" s="4">
        <v>21</v>
      </c>
    </row>
    <row r="7" spans="1:15923" ht="15" thickBot="1" x14ac:dyDescent="0.35">
      <c r="A7" s="4" t="s">
        <v>33</v>
      </c>
      <c r="B7" s="1" t="s">
        <v>17</v>
      </c>
      <c r="C7" s="1" t="s">
        <v>3</v>
      </c>
      <c r="D7" s="2" t="s">
        <v>16</v>
      </c>
      <c r="E7" s="3">
        <v>1007895746</v>
      </c>
      <c r="F7" s="4">
        <v>22</v>
      </c>
    </row>
    <row r="8" spans="1:15923" ht="15" thickBot="1" x14ac:dyDescent="0.35">
      <c r="A8" s="4" t="s">
        <v>33</v>
      </c>
      <c r="B8" s="1" t="s">
        <v>7</v>
      </c>
      <c r="C8" s="1" t="s">
        <v>1</v>
      </c>
      <c r="D8" s="2" t="s">
        <v>18</v>
      </c>
      <c r="E8" s="3">
        <v>71731792</v>
      </c>
      <c r="F8" s="4">
        <v>16</v>
      </c>
    </row>
    <row r="9" spans="1:15923" ht="15" thickBot="1" x14ac:dyDescent="0.35">
      <c r="A9" s="4" t="s">
        <v>33</v>
      </c>
      <c r="B9" s="1" t="s">
        <v>8</v>
      </c>
      <c r="C9" s="1" t="s">
        <v>1</v>
      </c>
      <c r="D9" s="2" t="s">
        <v>21</v>
      </c>
      <c r="E9" s="3">
        <v>1000771380</v>
      </c>
      <c r="F9" s="4">
        <v>18</v>
      </c>
    </row>
    <row r="10" spans="1:15923" ht="15" thickBot="1" x14ac:dyDescent="0.35">
      <c r="A10" s="4" t="s">
        <v>33</v>
      </c>
      <c r="B10" s="1" t="s">
        <v>9</v>
      </c>
      <c r="C10" s="1" t="s">
        <v>3</v>
      </c>
      <c r="D10" s="2" t="s">
        <v>19</v>
      </c>
      <c r="E10" s="3">
        <v>71578229</v>
      </c>
      <c r="F10" s="4">
        <v>20</v>
      </c>
    </row>
    <row r="11" spans="1:15923" ht="15" thickBot="1" x14ac:dyDescent="0.35">
      <c r="A11" s="4" t="s">
        <v>33</v>
      </c>
      <c r="B11" s="1" t="s">
        <v>10</v>
      </c>
      <c r="C11" s="1" t="s">
        <v>1</v>
      </c>
      <c r="D11" s="2" t="s">
        <v>20</v>
      </c>
      <c r="E11" s="3">
        <v>71940777</v>
      </c>
      <c r="F11" s="4">
        <v>16</v>
      </c>
    </row>
    <row r="12" spans="1:15923" ht="18.75" customHeight="1" thickBot="1" x14ac:dyDescent="0.35">
      <c r="A12" s="4" t="s">
        <v>33</v>
      </c>
      <c r="B12" s="1" t="s">
        <v>22</v>
      </c>
      <c r="C12" s="1" t="s">
        <v>3</v>
      </c>
      <c r="D12" s="2" t="s">
        <v>23</v>
      </c>
      <c r="E12" s="3">
        <v>98763347</v>
      </c>
      <c r="F12" s="4">
        <v>20</v>
      </c>
    </row>
    <row r="13" spans="1:15923" ht="15" thickBot="1" x14ac:dyDescent="0.35">
      <c r="A13" s="4" t="s">
        <v>33</v>
      </c>
      <c r="B13" s="1" t="s">
        <v>24</v>
      </c>
      <c r="C13" s="1" t="s">
        <v>3</v>
      </c>
      <c r="D13" s="2" t="s">
        <v>25</v>
      </c>
      <c r="E13" s="3">
        <v>1152710529</v>
      </c>
      <c r="F13" s="4">
        <v>26</v>
      </c>
    </row>
    <row r="14" spans="1:15923" ht="15" thickBot="1" x14ac:dyDescent="0.35">
      <c r="A14" s="4" t="s">
        <v>33</v>
      </c>
      <c r="B14" s="1" t="s">
        <v>26</v>
      </c>
      <c r="C14" s="1" t="s">
        <v>3</v>
      </c>
      <c r="D14" s="2" t="s">
        <v>27</v>
      </c>
      <c r="E14" s="3">
        <v>1023868483</v>
      </c>
      <c r="F14" s="4">
        <v>18</v>
      </c>
    </row>
    <row r="15" spans="1:15923" ht="18.600000000000001" thickBot="1" x14ac:dyDescent="0.4">
      <c r="A15" s="4" t="s">
        <v>33</v>
      </c>
      <c r="B15" s="1" t="s">
        <v>37</v>
      </c>
      <c r="C15" s="1" t="s">
        <v>1</v>
      </c>
      <c r="D15" s="2" t="s">
        <v>38</v>
      </c>
      <c r="E15" s="3">
        <v>1035521496</v>
      </c>
      <c r="F15" s="4">
        <v>18</v>
      </c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</row>
    <row r="16" spans="1:15923" ht="18.600000000000001" thickBot="1" x14ac:dyDescent="0.4">
      <c r="A16" s="4" t="s">
        <v>33</v>
      </c>
      <c r="B16" s="1" t="s">
        <v>39</v>
      </c>
      <c r="C16" s="1" t="s">
        <v>1</v>
      </c>
      <c r="D16" s="2" t="s">
        <v>40</v>
      </c>
      <c r="E16" s="3">
        <v>1007814097</v>
      </c>
      <c r="F16" s="4">
        <v>18</v>
      </c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</row>
    <row r="17" spans="1:6" x14ac:dyDescent="0.3">
      <c r="F17">
        <f>SUM(F2:F16)</f>
        <v>287</v>
      </c>
    </row>
    <row r="19" spans="1:6" ht="15" thickBot="1" x14ac:dyDescent="0.35">
      <c r="A19" s="5" t="s">
        <v>35</v>
      </c>
      <c r="B19" s="5" t="s">
        <v>28</v>
      </c>
      <c r="C19" s="5" t="s">
        <v>29</v>
      </c>
      <c r="D19" s="5" t="s">
        <v>30</v>
      </c>
      <c r="E19" s="5" t="s">
        <v>31</v>
      </c>
      <c r="F19" s="5" t="s">
        <v>34</v>
      </c>
    </row>
    <row r="20" spans="1:6" ht="15" thickBot="1" x14ac:dyDescent="0.35">
      <c r="A20" s="4" t="s">
        <v>36</v>
      </c>
      <c r="B20" s="1" t="s">
        <v>42</v>
      </c>
      <c r="C20" s="1" t="s">
        <v>1</v>
      </c>
      <c r="D20" s="2" t="s">
        <v>41</v>
      </c>
      <c r="E20" s="3">
        <v>1105780365</v>
      </c>
      <c r="F20" s="4">
        <v>13</v>
      </c>
    </row>
    <row r="21" spans="1:6" ht="15" thickBot="1" x14ac:dyDescent="0.35">
      <c r="A21" s="4" t="s">
        <v>36</v>
      </c>
      <c r="B21" s="1" t="s">
        <v>44</v>
      </c>
      <c r="C21" s="1" t="s">
        <v>1</v>
      </c>
      <c r="D21" s="2" t="s">
        <v>43</v>
      </c>
      <c r="E21" s="3">
        <v>713946798</v>
      </c>
      <c r="F21" s="4">
        <v>16</v>
      </c>
    </row>
    <row r="22" spans="1:6" ht="15" thickBot="1" x14ac:dyDescent="0.35">
      <c r="A22" s="4" t="s">
        <v>36</v>
      </c>
      <c r="B22" s="1" t="s">
        <v>46</v>
      </c>
      <c r="C22" s="1" t="s">
        <v>69</v>
      </c>
      <c r="D22" s="2" t="s">
        <v>45</v>
      </c>
      <c r="E22" s="3">
        <v>1037545432</v>
      </c>
      <c r="F22" s="4">
        <v>25</v>
      </c>
    </row>
    <row r="23" spans="1:6" ht="15" thickBot="1" x14ac:dyDescent="0.35">
      <c r="A23" s="4" t="s">
        <v>36</v>
      </c>
      <c r="B23" s="1" t="s">
        <v>48</v>
      </c>
      <c r="C23" s="1" t="s">
        <v>69</v>
      </c>
      <c r="D23" s="2" t="s">
        <v>47</v>
      </c>
      <c r="E23" s="3">
        <v>71525545</v>
      </c>
      <c r="F23" s="4">
        <v>25</v>
      </c>
    </row>
    <row r="24" spans="1:6" ht="15" thickBot="1" x14ac:dyDescent="0.35">
      <c r="A24" s="4" t="s">
        <v>36</v>
      </c>
      <c r="B24" s="1" t="s">
        <v>50</v>
      </c>
      <c r="C24" s="1" t="s">
        <v>69</v>
      </c>
      <c r="D24" s="2" t="s">
        <v>49</v>
      </c>
      <c r="E24" s="3">
        <v>98715267</v>
      </c>
      <c r="F24" s="4">
        <v>26</v>
      </c>
    </row>
    <row r="25" spans="1:6" ht="15" thickBot="1" x14ac:dyDescent="0.35">
      <c r="A25" s="4" t="s">
        <v>36</v>
      </c>
      <c r="B25" s="1" t="s">
        <v>52</v>
      </c>
      <c r="C25" s="1" t="s">
        <v>1</v>
      </c>
      <c r="D25" s="2" t="s">
        <v>51</v>
      </c>
      <c r="E25" s="3">
        <v>71393476</v>
      </c>
      <c r="F25" s="4">
        <v>18</v>
      </c>
    </row>
    <row r="26" spans="1:6" ht="15" thickBot="1" x14ac:dyDescent="0.35">
      <c r="A26" s="4" t="s">
        <v>36</v>
      </c>
      <c r="B26" s="1" t="s">
        <v>56</v>
      </c>
      <c r="C26" s="1" t="s">
        <v>69</v>
      </c>
      <c r="D26" s="2" t="s">
        <v>55</v>
      </c>
      <c r="E26" s="3">
        <v>1036634601</v>
      </c>
      <c r="F26" s="4">
        <v>30</v>
      </c>
    </row>
    <row r="27" spans="1:6" ht="15" thickBot="1" x14ac:dyDescent="0.35">
      <c r="A27" s="4" t="s">
        <v>36</v>
      </c>
      <c r="B27" s="1" t="s">
        <v>58</v>
      </c>
      <c r="C27" s="1" t="s">
        <v>69</v>
      </c>
      <c r="D27" s="2" t="s">
        <v>57</v>
      </c>
      <c r="E27" s="3">
        <v>1017126675</v>
      </c>
      <c r="F27" s="4">
        <v>30</v>
      </c>
    </row>
    <row r="28" spans="1:6" ht="15" thickBot="1" x14ac:dyDescent="0.35">
      <c r="A28" s="4" t="s">
        <v>36</v>
      </c>
      <c r="B28" s="1" t="s">
        <v>60</v>
      </c>
      <c r="C28" s="1" t="s">
        <v>69</v>
      </c>
      <c r="D28" s="2" t="s">
        <v>59</v>
      </c>
      <c r="E28" s="3">
        <v>1001367879</v>
      </c>
      <c r="F28" s="4">
        <v>25</v>
      </c>
    </row>
    <row r="29" spans="1:6" ht="15" thickBot="1" x14ac:dyDescent="0.35">
      <c r="A29" s="4" t="s">
        <v>36</v>
      </c>
      <c r="B29" s="1" t="s">
        <v>63</v>
      </c>
      <c r="C29" s="1" t="s">
        <v>69</v>
      </c>
      <c r="D29" s="2" t="s">
        <v>62</v>
      </c>
      <c r="E29" s="3">
        <v>1001035789</v>
      </c>
      <c r="F29" s="4">
        <v>26</v>
      </c>
    </row>
    <row r="30" spans="1:6" ht="15" thickBot="1" x14ac:dyDescent="0.35">
      <c r="A30" s="4" t="s">
        <v>36</v>
      </c>
      <c r="B30" s="1" t="s">
        <v>65</v>
      </c>
      <c r="C30" s="1" t="s">
        <v>1</v>
      </c>
      <c r="D30" s="2" t="s">
        <v>64</v>
      </c>
      <c r="E30" s="3">
        <v>15356288</v>
      </c>
      <c r="F30" s="4">
        <v>14</v>
      </c>
    </row>
    <row r="31" spans="1:6" ht="15" thickBot="1" x14ac:dyDescent="0.35">
      <c r="A31" s="4" t="s">
        <v>36</v>
      </c>
      <c r="B31" s="1" t="s">
        <v>54</v>
      </c>
      <c r="C31" s="1" t="s">
        <v>69</v>
      </c>
      <c r="D31" s="2" t="s">
        <v>53</v>
      </c>
      <c r="E31" s="3">
        <v>97600354</v>
      </c>
      <c r="F31" s="4">
        <v>30</v>
      </c>
    </row>
    <row r="32" spans="1:6" ht="15" thickBot="1" x14ac:dyDescent="0.35">
      <c r="A32" s="4" t="s">
        <v>36</v>
      </c>
      <c r="B32" s="1" t="s">
        <v>67</v>
      </c>
      <c r="C32" s="1" t="s">
        <v>1</v>
      </c>
      <c r="D32" s="2" t="s">
        <v>66</v>
      </c>
      <c r="E32" s="3">
        <v>71392288</v>
      </c>
      <c r="F32" s="4">
        <v>18</v>
      </c>
    </row>
    <row r="33" spans="1:6" ht="15" thickBot="1" x14ac:dyDescent="0.35">
      <c r="A33" s="4" t="s">
        <v>36</v>
      </c>
      <c r="B33" s="1" t="s">
        <v>68</v>
      </c>
      <c r="C33" s="1" t="s">
        <v>69</v>
      </c>
      <c r="D33" s="2" t="s">
        <v>61</v>
      </c>
      <c r="E33" s="3">
        <v>15328591</v>
      </c>
      <c r="F33" s="4">
        <v>26</v>
      </c>
    </row>
    <row r="34" spans="1:6" x14ac:dyDescent="0.3">
      <c r="F34">
        <f>SUM(F20:F33)</f>
        <v>322</v>
      </c>
    </row>
    <row r="35" spans="1:6" x14ac:dyDescent="0.3">
      <c r="B35" s="8" t="s">
        <v>70</v>
      </c>
      <c r="C35" s="8"/>
      <c r="D35" s="8"/>
      <c r="E35" s="8"/>
      <c r="F35">
        <f>+F34+F17</f>
        <v>609</v>
      </c>
    </row>
    <row r="36" spans="1:6" x14ac:dyDescent="0.3">
      <c r="B36" s="8"/>
      <c r="C36" s="8"/>
      <c r="D36" s="8"/>
      <c r="E36" s="8"/>
      <c r="F36" s="4">
        <v>77</v>
      </c>
    </row>
    <row r="38" spans="1:6" x14ac:dyDescent="0.3">
      <c r="B38" s="8" t="s">
        <v>71</v>
      </c>
      <c r="C38" s="8"/>
      <c r="D38" s="8"/>
      <c r="E38" s="8"/>
    </row>
    <row r="39" spans="1:6" x14ac:dyDescent="0.3">
      <c r="B39" s="8"/>
      <c r="C39" s="8"/>
      <c r="D39" s="8"/>
      <c r="E39" s="8"/>
      <c r="F39">
        <v>115</v>
      </c>
    </row>
    <row r="40" spans="1:6" x14ac:dyDescent="0.3">
      <c r="F40">
        <f>SUM(F36:F39)</f>
        <v>192</v>
      </c>
    </row>
    <row r="41" spans="1:6" x14ac:dyDescent="0.3">
      <c r="B41" s="8" t="s">
        <v>72</v>
      </c>
      <c r="C41" s="8"/>
      <c r="D41" s="8"/>
      <c r="E41" s="8"/>
      <c r="F41">
        <f>+F35/F40</f>
        <v>3.171875</v>
      </c>
    </row>
    <row r="42" spans="1:6" x14ac:dyDescent="0.3">
      <c r="B42" s="8"/>
      <c r="C42" s="8"/>
      <c r="D42" s="8"/>
      <c r="E42" s="8"/>
    </row>
  </sheetData>
  <mergeCells count="3">
    <mergeCell ref="B35:E36"/>
    <mergeCell ref="B38:E39"/>
    <mergeCell ref="B41:E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PLACAS PLAN R Y NORMAL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Ana Maria Palacio</cp:lastModifiedBy>
  <dcterms:created xsi:type="dcterms:W3CDTF">2025-10-29T03:17:35Z</dcterms:created>
  <dcterms:modified xsi:type="dcterms:W3CDTF">2025-11-07T19:41:01Z</dcterms:modified>
</cp:coreProperties>
</file>